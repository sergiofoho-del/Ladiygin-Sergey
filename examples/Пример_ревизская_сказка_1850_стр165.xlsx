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юди" sheetId="1" state="visible" r:id="rId1"/>
    <sheet xmlns:r="http://schemas.openxmlformats.org/officeDocument/2006/relationships" name="Семьи" sheetId="2" state="visible" r:id="rId2"/>
    <sheet xmlns:r="http://schemas.openxmlformats.org/officeDocument/2006/relationships" name="Блоки текста" sheetId="3" state="visible" r:id="rId3"/>
    <sheet xmlns:r="http://schemas.openxmlformats.org/officeDocument/2006/relationships" name="Страницы" sheetId="4" state="visible" r:id="rId4"/>
    <sheet xmlns:r="http://schemas.openxmlformats.org/officeDocument/2006/relationships" name="Сводка" sheetId="5" state="visible" r:id="rId5"/>
    <sheet xmlns:r="http://schemas.openxmlformats.org/officeDocument/2006/relationships" name="Об источнике" sheetId="6" state="visible" r:id="rId6"/>
  </sheets>
  <definedNames>
    <definedName name="_xlnm._FilterDatabase" localSheetId="0" hidden="1">'Люди'!$A$1:$R$29</definedName>
    <definedName name="_xlnm._FilterDatabase" localSheetId="1" hidden="1">'Семьи'!$A$1:$I$3</definedName>
    <definedName name="_xlnm._FilterDatabase" localSheetId="2" hidden="1">'Блоки текста'!$A$1:$H$8</definedName>
    <definedName name="_xlnm._FilterDatabase" localSheetId="3" hidden="1">'Страницы'!$A$1:$K$2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.ru/archive/catalog/bfed2966-e671-4c18-bbb0-a9551ad28f8e/165" TargetMode="External" Id="rId1"/><Relationship Type="http://schemas.openxmlformats.org/officeDocument/2006/relationships/hyperlink" Target="https://ya.ru/archive/catalog/bfed2966-e671-4c18-bbb0-a9551ad28f8e/165" TargetMode="External" Id="rId2"/><Relationship Type="http://schemas.openxmlformats.org/officeDocument/2006/relationships/hyperlink" Target="https://ya.ru/archive/catalog/bfed2966-e671-4c18-bbb0-a9551ad28f8e/165" TargetMode="External" Id="rId3"/><Relationship Type="http://schemas.openxmlformats.org/officeDocument/2006/relationships/hyperlink" Target="https://ya.ru/archive/catalog/bfed2966-e671-4c18-bbb0-a9551ad28f8e/165" TargetMode="External" Id="rId4"/><Relationship Type="http://schemas.openxmlformats.org/officeDocument/2006/relationships/hyperlink" Target="https://ya.ru/archive/catalog/bfed2966-e671-4c18-bbb0-a9551ad28f8e/165" TargetMode="External" Id="rId5"/><Relationship Type="http://schemas.openxmlformats.org/officeDocument/2006/relationships/hyperlink" Target="https://ya.ru/archive/catalog/bfed2966-e671-4c18-bbb0-a9551ad28f8e/165" TargetMode="External" Id="rId6"/><Relationship Type="http://schemas.openxmlformats.org/officeDocument/2006/relationships/hyperlink" Target="https://ya.ru/archive/catalog/bfed2966-e671-4c18-bbb0-a9551ad28f8e/165" TargetMode="External" Id="rId7"/><Relationship Type="http://schemas.openxmlformats.org/officeDocument/2006/relationships/hyperlink" Target="https://ya.ru/archive/catalog/bfed2966-e671-4c18-bbb0-a9551ad28f8e/165" TargetMode="External" Id="rId8"/><Relationship Type="http://schemas.openxmlformats.org/officeDocument/2006/relationships/hyperlink" Target="https://ya.ru/archive/catalog/bfed2966-e671-4c18-bbb0-a9551ad28f8e/165" TargetMode="External" Id="rId9"/><Relationship Type="http://schemas.openxmlformats.org/officeDocument/2006/relationships/hyperlink" Target="https://ya.ru/archive/catalog/bfed2966-e671-4c18-bbb0-a9551ad28f8e/165" TargetMode="External" Id="rId10"/><Relationship Type="http://schemas.openxmlformats.org/officeDocument/2006/relationships/hyperlink" Target="https://ya.ru/archive/catalog/bfed2966-e671-4c18-bbb0-a9551ad28f8e/165" TargetMode="External" Id="rId11"/><Relationship Type="http://schemas.openxmlformats.org/officeDocument/2006/relationships/hyperlink" Target="https://ya.ru/archive/catalog/bfed2966-e671-4c18-bbb0-a9551ad28f8e/165" TargetMode="External" Id="rId12"/><Relationship Type="http://schemas.openxmlformats.org/officeDocument/2006/relationships/hyperlink" Target="https://ya.ru/archive/catalog/bfed2966-e671-4c18-bbb0-a9551ad28f8e/165" TargetMode="External" Id="rId13"/><Relationship Type="http://schemas.openxmlformats.org/officeDocument/2006/relationships/hyperlink" Target="https://ya.ru/archive/catalog/bfed2966-e671-4c18-bbb0-a9551ad28f8e/165" TargetMode="External" Id="rId14"/><Relationship Type="http://schemas.openxmlformats.org/officeDocument/2006/relationships/hyperlink" Target="https://ya.ru/archive/catalog/bfed2966-e671-4c18-bbb0-a9551ad28f8e/165" TargetMode="External" Id="rId15"/><Relationship Type="http://schemas.openxmlformats.org/officeDocument/2006/relationships/hyperlink" Target="https://ya.ru/archive/catalog/bfed2966-e671-4c18-bbb0-a9551ad28f8e/165" TargetMode="External" Id="rId16"/><Relationship Type="http://schemas.openxmlformats.org/officeDocument/2006/relationships/hyperlink" Target="https://ya.ru/archive/catalog/bfed2966-e671-4c18-bbb0-a9551ad28f8e/165" TargetMode="External" Id="rId17"/><Relationship Type="http://schemas.openxmlformats.org/officeDocument/2006/relationships/hyperlink" Target="https://ya.ru/archive/catalog/bfed2966-e671-4c18-bbb0-a9551ad28f8e/165" TargetMode="External" Id="rId18"/><Relationship Type="http://schemas.openxmlformats.org/officeDocument/2006/relationships/hyperlink" Target="https://ya.ru/archive/catalog/bfed2966-e671-4c18-bbb0-a9551ad28f8e/165" TargetMode="External" Id="rId19"/><Relationship Type="http://schemas.openxmlformats.org/officeDocument/2006/relationships/hyperlink" Target="https://ya.ru/archive/catalog/bfed2966-e671-4c18-bbb0-a9551ad28f8e/165" TargetMode="External" Id="rId20"/><Relationship Type="http://schemas.openxmlformats.org/officeDocument/2006/relationships/hyperlink" Target="https://ya.ru/archive/catalog/bfed2966-e671-4c18-bbb0-a9551ad28f8e/165" TargetMode="External" Id="rId21"/><Relationship Type="http://schemas.openxmlformats.org/officeDocument/2006/relationships/hyperlink" Target="https://ya.ru/archive/catalog/bfed2966-e671-4c18-bbb0-a9551ad28f8e/165" TargetMode="External" Id="rId22"/><Relationship Type="http://schemas.openxmlformats.org/officeDocument/2006/relationships/hyperlink" Target="https://ya.ru/archive/catalog/bfed2966-e671-4c18-bbb0-a9551ad28f8e/165" TargetMode="External" Id="rId23"/><Relationship Type="http://schemas.openxmlformats.org/officeDocument/2006/relationships/hyperlink" Target="https://ya.ru/archive/catalog/bfed2966-e671-4c18-bbb0-a9551ad28f8e/165" TargetMode="External" Id="rId24"/><Relationship Type="http://schemas.openxmlformats.org/officeDocument/2006/relationships/hyperlink" Target="https://ya.ru/archive/catalog/bfed2966-e671-4c18-bbb0-a9551ad28f8e/165" TargetMode="External" Id="rId25"/><Relationship Type="http://schemas.openxmlformats.org/officeDocument/2006/relationships/hyperlink" Target="https://ya.ru/archive/catalog/bfed2966-e671-4c18-bbb0-a9551ad28f8e/165" TargetMode="External" Id="rId26"/><Relationship Type="http://schemas.openxmlformats.org/officeDocument/2006/relationships/hyperlink" Target="https://ya.ru/archive/catalog/bfed2966-e671-4c18-bbb0-a9551ad28f8e/165" TargetMode="External" Id="rId27"/><Relationship Type="http://schemas.openxmlformats.org/officeDocument/2006/relationships/hyperlink" Target="https://ya.ru/archive/catalog/bfed2966-e671-4c18-bbb0-a9551ad28f8e/16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7" customWidth="1" min="4" max="4"/>
    <col width="13" customWidth="1" min="5" max="5"/>
    <col width="5" customWidth="1" min="6" max="6"/>
    <col width="12" customWidth="1" min="7" max="7"/>
    <col width="30" customWidth="1" min="8" max="8"/>
    <col width="28" customWidth="1" min="9" max="9"/>
    <col width="12" customWidth="1" min="10" max="10"/>
    <col width="11" customWidth="1" min="11" max="11"/>
    <col width="9" customWidth="1" min="12" max="12"/>
    <col width="10" customWidth="1" min="13" max="13"/>
    <col width="10" customWidth="1" min="14" max="14"/>
    <col width="30" customWidth="1" min="15" max="15"/>
    <col width="40" customWidth="1" min="16" max="16"/>
    <col width="30" customWidth="1" min="17" max="17"/>
    <col width="30" customWidth="1" min="18" max="18"/>
  </cols>
  <sheetData>
    <row r="1">
      <c r="A1" s="1" t="inlineStr">
        <is>
          <t>Скан</t>
        </is>
      </c>
      <c r="B1" s="1" t="inlineStr">
        <is>
          <t>Селение</t>
        </is>
      </c>
      <c r="C1" s="1" t="inlineStr">
        <is>
          <t>Сословие</t>
        </is>
      </c>
      <c r="D1" s="1" t="inlineStr">
        <is>
          <t>Семья №</t>
        </is>
      </c>
      <c r="E1" s="1" t="inlineStr">
        <is>
          <t>Фамилия семьи</t>
        </is>
      </c>
      <c r="F1" s="1" t="inlineStr">
        <is>
          <t>Пол</t>
        </is>
      </c>
      <c r="G1" s="1" t="inlineStr">
        <is>
          <t>ID</t>
        </is>
      </c>
      <c r="H1" s="1" t="inlineStr">
        <is>
          <t>ФИО (совр. орфография)</t>
        </is>
      </c>
      <c r="I1" s="1" t="inlineStr">
        <is>
          <t>Отношение</t>
        </is>
      </c>
      <c r="J1" s="1" t="inlineStr">
        <is>
          <t>ID отца / мужа</t>
        </is>
      </c>
      <c r="K1" s="1" t="inlineStr">
        <is>
          <t>Лет по 8-й рев. (1834)</t>
        </is>
      </c>
      <c r="L1" s="1" t="inlineStr">
        <is>
          <t>Лет в 1850</t>
        </is>
      </c>
      <c r="M1" s="1" t="inlineStr">
        <is>
          <t>Год рождения ≈</t>
        </is>
      </c>
      <c r="N1" s="1" t="inlineStr">
        <is>
          <t>Статус</t>
        </is>
      </c>
      <c r="O1" s="1" t="inlineStr">
        <is>
          <t>Выбытие / примечание</t>
        </is>
      </c>
      <c r="P1" s="1" t="inlineStr">
        <is>
          <t>Как в тексте</t>
        </is>
      </c>
      <c r="Q1" s="1" t="inlineStr">
        <is>
          <t>Проверить</t>
        </is>
      </c>
      <c r="R1" s="1" t="inlineStr">
        <is>
          <t>Ссылка на скан</t>
        </is>
      </c>
    </row>
    <row r="2">
      <c r="A2" t="n">
        <v>165</v>
      </c>
      <c r="B2" t="inlineStr">
        <is>
          <t>д. Черепкова</t>
        </is>
      </c>
      <c r="C2" t="inlineStr">
        <is>
          <t>крестьяне</t>
        </is>
      </c>
      <c r="D2" t="n">
        <v>23</v>
      </c>
      <c r="E2" t="inlineStr">
        <is>
          <t>Стренин</t>
        </is>
      </c>
      <c r="F2" t="inlineStr">
        <is>
          <t>м</t>
        </is>
      </c>
      <c r="G2" t="inlineStr">
        <is>
          <t>165-м1-1</t>
        </is>
      </c>
      <c r="H2" t="inlineStr">
        <is>
          <t>Никита Григорьев Стренин</t>
        </is>
      </c>
      <c r="I2" t="inlineStr">
        <is>
          <t>глава</t>
        </is>
      </c>
      <c r="J2" t="inlineStr"/>
      <c r="K2" t="n">
        <v>55</v>
      </c>
      <c r="M2" t="n">
        <v>1779</v>
      </c>
      <c r="N2" t="inlineStr">
        <is>
          <t>выбыл</t>
        </is>
      </c>
      <c r="O2" t="inlineStr">
        <is>
          <t>умер 1847</t>
        </is>
      </c>
      <c r="P2" t="inlineStr">
        <is>
          <t>Никита Григорьевъ Стрѣнинъ</t>
        </is>
      </c>
      <c r="R2" t="inlineStr">
        <is>
          <t>https://ya.ru/archive/catalog/bfed2966-e671-4c18-bbb0-a9551ad28f8e/165</t>
        </is>
      </c>
    </row>
    <row r="3">
      <c r="A3" s="2" t="n">
        <v>165</v>
      </c>
      <c r="B3" s="2" t="inlineStr">
        <is>
          <t>д. Черепкова</t>
        </is>
      </c>
      <c r="C3" s="2" t="inlineStr">
        <is>
          <t>крестьяне</t>
        </is>
      </c>
      <c r="D3" s="2" t="n">
        <v>23</v>
      </c>
      <c r="E3" s="2" t="inlineStr">
        <is>
          <t>Стренин</t>
        </is>
      </c>
      <c r="F3" s="2" t="inlineStr">
        <is>
          <t>м</t>
        </is>
      </c>
      <c r="G3" s="2" t="inlineStr">
        <is>
          <t>165-м1-2</t>
        </is>
      </c>
      <c r="H3" s="2" t="inlineStr">
        <is>
          <t>Степан Никитин</t>
        </is>
      </c>
      <c r="I3" s="2" t="inlineStr">
        <is>
          <t>сын Никиты Григорьева</t>
        </is>
      </c>
      <c r="J3" s="2" t="inlineStr">
        <is>
          <t>165-м1-1</t>
        </is>
      </c>
      <c r="K3" s="2" t="n">
        <v>29</v>
      </c>
      <c r="L3" s="2" t="n">
        <v>45</v>
      </c>
      <c r="M3" s="2" t="n">
        <v>1805</v>
      </c>
      <c r="N3" s="2" t="inlineStr">
        <is>
          <t>налицо</t>
        </is>
      </c>
      <c r="O3" s="2" t="n"/>
      <c r="P3" s="2" t="inlineStr">
        <is>
          <t>Никиты Григорьева сынъ Степанъ</t>
        </is>
      </c>
      <c r="Q3" s="2" t="inlineStr">
        <is>
          <t>отчество образовано от имени отца</t>
        </is>
      </c>
      <c r="R3" s="2" t="inlineStr">
        <is>
          <t>https://ya.ru/archive/catalog/bfed2966-e671-4c18-bbb0-a9551ad28f8e/165</t>
        </is>
      </c>
    </row>
    <row r="4">
      <c r="A4" s="2" t="n">
        <v>165</v>
      </c>
      <c r="B4" s="2" t="inlineStr">
        <is>
          <t>д. Черепкова</t>
        </is>
      </c>
      <c r="C4" s="2" t="inlineStr">
        <is>
          <t>крестьяне</t>
        </is>
      </c>
      <c r="D4" s="2" t="n">
        <v>23</v>
      </c>
      <c r="E4" s="2" t="inlineStr">
        <is>
          <t>Стренин</t>
        </is>
      </c>
      <c r="F4" s="2" t="inlineStr">
        <is>
          <t>м</t>
        </is>
      </c>
      <c r="G4" s="2" t="inlineStr">
        <is>
          <t>165-м1-3</t>
        </is>
      </c>
      <c r="H4" s="2" t="inlineStr">
        <is>
          <t>Федор Степанов</t>
        </is>
      </c>
      <c r="I4" s="2" t="inlineStr">
        <is>
          <t>сын Степана</t>
        </is>
      </c>
      <c r="J4" s="2" t="inlineStr">
        <is>
          <t>165-м1-2</t>
        </is>
      </c>
      <c r="K4" s="2" t="n">
        <v>4</v>
      </c>
      <c r="L4" s="2" t="n"/>
      <c r="M4" s="2" t="n">
        <v>1830</v>
      </c>
      <c r="N4" s="2" t="inlineStr">
        <is>
          <t>выбыл</t>
        </is>
      </c>
      <c r="O4" s="2" t="inlineStr">
        <is>
          <t>умер 1843</t>
        </is>
      </c>
      <c r="P4" s="2" t="inlineStr">
        <is>
          <t>Степана сыновья: федоръ</t>
        </is>
      </c>
      <c r="Q4" s="2" t="inlineStr">
        <is>
          <t>отчество образовано от имени отца</t>
        </is>
      </c>
      <c r="R4" s="2" t="inlineStr">
        <is>
          <t>https://ya.ru/archive/catalog/bfed2966-e671-4c18-bbb0-a9551ad28f8e/165</t>
        </is>
      </c>
    </row>
    <row r="5">
      <c r="A5" s="2" t="n">
        <v>165</v>
      </c>
      <c r="B5" s="2" t="inlineStr">
        <is>
          <t>д. Черепкова</t>
        </is>
      </c>
      <c r="C5" s="2" t="inlineStr">
        <is>
          <t>крестьяне</t>
        </is>
      </c>
      <c r="D5" s="2" t="n">
        <v>23</v>
      </c>
      <c r="E5" s="2" t="inlineStr">
        <is>
          <t>Стренин</t>
        </is>
      </c>
      <c r="F5" s="2" t="inlineStr">
        <is>
          <t>м</t>
        </is>
      </c>
      <c r="G5" s="2" t="inlineStr">
        <is>
          <t>165-м1-4</t>
        </is>
      </c>
      <c r="H5" s="2" t="inlineStr">
        <is>
          <t>Николай Степанов</t>
        </is>
      </c>
      <c r="I5" s="2" t="inlineStr">
        <is>
          <t>сын Степана</t>
        </is>
      </c>
      <c r="J5" s="2" t="inlineStr">
        <is>
          <t>165-м1-2</t>
        </is>
      </c>
      <c r="K5" s="2" t="n">
        <v>1</v>
      </c>
      <c r="L5" s="2" t="n">
        <v>17</v>
      </c>
      <c r="M5" s="2" t="n">
        <v>1833</v>
      </c>
      <c r="N5" s="2" t="inlineStr">
        <is>
          <t>налицо</t>
        </is>
      </c>
      <c r="O5" s="2" t="n"/>
      <c r="P5" s="2" t="inlineStr">
        <is>
          <t>Николай</t>
        </is>
      </c>
      <c r="Q5" s="2" t="inlineStr">
        <is>
          <t>отчество образовано от имени отца</t>
        </is>
      </c>
      <c r="R5" s="2" t="inlineStr">
        <is>
          <t>https://ya.ru/archive/catalog/bfed2966-e671-4c18-bbb0-a9551ad28f8e/165</t>
        </is>
      </c>
    </row>
    <row r="6">
      <c r="A6" s="2" t="n">
        <v>165</v>
      </c>
      <c r="B6" s="2" t="inlineStr">
        <is>
          <t>д. Черепкова</t>
        </is>
      </c>
      <c r="C6" s="2" t="inlineStr">
        <is>
          <t>крестьяне</t>
        </is>
      </c>
      <c r="D6" s="2" t="n">
        <v>23</v>
      </c>
      <c r="E6" s="2" t="inlineStr">
        <is>
          <t>Стренин</t>
        </is>
      </c>
      <c r="F6" s="2" t="inlineStr">
        <is>
          <t>м</t>
        </is>
      </c>
      <c r="G6" s="2" t="inlineStr">
        <is>
          <t>165-м1-5</t>
        </is>
      </c>
      <c r="H6" s="2" t="inlineStr">
        <is>
          <t>Алексей Степанов</t>
        </is>
      </c>
      <c r="I6" s="2" t="inlineStr">
        <is>
          <t>сын Степана</t>
        </is>
      </c>
      <c r="J6" s="2" t="inlineStr">
        <is>
          <t>165-м1-2</t>
        </is>
      </c>
      <c r="K6" s="2" t="inlineStr">
        <is>
          <t>новорожд.</t>
        </is>
      </c>
      <c r="L6" s="2" t="n">
        <v>15</v>
      </c>
      <c r="M6" s="2" t="n">
        <v>1835</v>
      </c>
      <c r="N6" s="2" t="inlineStr">
        <is>
          <t>налицо</t>
        </is>
      </c>
      <c r="O6" s="2" t="n"/>
      <c r="P6" s="2" t="inlineStr">
        <is>
          <t>Алексѣй</t>
        </is>
      </c>
      <c r="Q6" s="2" t="inlineStr">
        <is>
          <t>отчество образовано от имени отца</t>
        </is>
      </c>
      <c r="R6" s="2" t="inlineStr">
        <is>
          <t>https://ya.ru/archive/catalog/bfed2966-e671-4c18-bbb0-a9551ad28f8e/165</t>
        </is>
      </c>
    </row>
    <row r="7">
      <c r="A7" s="2" t="n">
        <v>165</v>
      </c>
      <c r="B7" s="2" t="inlineStr">
        <is>
          <t>д. Черепкова</t>
        </is>
      </c>
      <c r="C7" s="2" t="inlineStr">
        <is>
          <t>крестьяне</t>
        </is>
      </c>
      <c r="D7" s="2" t="n">
        <v>23</v>
      </c>
      <c r="E7" s="2" t="inlineStr">
        <is>
          <t>Стренин</t>
        </is>
      </c>
      <c r="F7" s="2" t="inlineStr">
        <is>
          <t>м</t>
        </is>
      </c>
      <c r="G7" s="2" t="inlineStr">
        <is>
          <t>165-м1-6</t>
        </is>
      </c>
      <c r="H7" s="2" t="inlineStr">
        <is>
          <t>Василий Степанов</t>
        </is>
      </c>
      <c r="I7" s="2" t="inlineStr">
        <is>
          <t>сын Степана</t>
        </is>
      </c>
      <c r="J7" s="2" t="inlineStr">
        <is>
          <t>165-м1-2</t>
        </is>
      </c>
      <c r="K7" s="2" t="inlineStr">
        <is>
          <t>новорожд.</t>
        </is>
      </c>
      <c r="L7" s="2" t="n">
        <v>13</v>
      </c>
      <c r="M7" s="2" t="n">
        <v>1837</v>
      </c>
      <c r="N7" s="2" t="inlineStr">
        <is>
          <t>налицо</t>
        </is>
      </c>
      <c r="O7" s="2" t="n"/>
      <c r="P7" s="2" t="inlineStr">
        <is>
          <t>Василій</t>
        </is>
      </c>
      <c r="Q7" s="2" t="inlineStr">
        <is>
          <t>отчество образовано от имени отца</t>
        </is>
      </c>
      <c r="R7" s="2" t="inlineStr">
        <is>
          <t>https://ya.ru/archive/catalog/bfed2966-e671-4c18-bbb0-a9551ad28f8e/165</t>
        </is>
      </c>
    </row>
    <row r="8">
      <c r="A8" s="2" t="n">
        <v>165</v>
      </c>
      <c r="B8" s="2" t="inlineStr">
        <is>
          <t>д. Черепкова</t>
        </is>
      </c>
      <c r="C8" s="2" t="inlineStr">
        <is>
          <t>крестьяне</t>
        </is>
      </c>
      <c r="D8" s="2" t="n">
        <v>23</v>
      </c>
      <c r="E8" s="2" t="inlineStr">
        <is>
          <t>Стренин</t>
        </is>
      </c>
      <c r="F8" s="2" t="inlineStr">
        <is>
          <t>м</t>
        </is>
      </c>
      <c r="G8" s="2" t="inlineStr">
        <is>
          <t>165-м1-7</t>
        </is>
      </c>
      <c r="H8" s="2" t="inlineStr">
        <is>
          <t>Алексей меньшой Степанов</t>
        </is>
      </c>
      <c r="I8" s="2" t="inlineStr">
        <is>
          <t>сын Степана</t>
        </is>
      </c>
      <c r="J8" s="2" t="inlineStr">
        <is>
          <t>165-м1-2</t>
        </is>
      </c>
      <c r="K8" s="2" t="inlineStr">
        <is>
          <t>новорожд.</t>
        </is>
      </c>
      <c r="L8" s="2" t="n">
        <v>10</v>
      </c>
      <c r="M8" s="2" t="n">
        <v>1840</v>
      </c>
      <c r="N8" s="2" t="inlineStr">
        <is>
          <t>налицо</t>
        </is>
      </c>
      <c r="O8" s="2" t="n"/>
      <c r="P8" s="2" t="inlineStr">
        <is>
          <t>Алексѣй меньшой</t>
        </is>
      </c>
      <c r="Q8" s="2" t="inlineStr">
        <is>
          <t>отчество образовано от имени отца</t>
        </is>
      </c>
      <c r="R8" s="2" t="inlineStr">
        <is>
          <t>https://ya.ru/archive/catalog/bfed2966-e671-4c18-bbb0-a9551ad28f8e/165</t>
        </is>
      </c>
    </row>
    <row r="9">
      <c r="A9" s="2" t="n">
        <v>165</v>
      </c>
      <c r="B9" s="2" t="inlineStr">
        <is>
          <t>д. Черепкова</t>
        </is>
      </c>
      <c r="C9" s="2" t="inlineStr">
        <is>
          <t>крестьяне</t>
        </is>
      </c>
      <c r="D9" s="2" t="n">
        <v>23</v>
      </c>
      <c r="E9" s="2" t="inlineStr">
        <is>
          <t>Стренин</t>
        </is>
      </c>
      <c r="F9" s="2" t="inlineStr">
        <is>
          <t>м</t>
        </is>
      </c>
      <c r="G9" s="2" t="inlineStr">
        <is>
          <t>165-м1-8</t>
        </is>
      </c>
      <c r="H9" s="2" t="inlineStr">
        <is>
          <t>Гаврила Никитин</t>
        </is>
      </c>
      <c r="I9" s="2" t="inlineStr">
        <is>
          <t>второй сын Никиты Григорьева</t>
        </is>
      </c>
      <c r="J9" s="2" t="inlineStr">
        <is>
          <t>165-м1-1</t>
        </is>
      </c>
      <c r="K9" s="2" t="n"/>
      <c r="L9" s="2" t="n">
        <v>43</v>
      </c>
      <c r="M9" s="2" t="n">
        <v>1807</v>
      </c>
      <c r="N9" s="2" t="inlineStr">
        <is>
          <t>налицо</t>
        </is>
      </c>
      <c r="O9" s="2" t="n"/>
      <c r="P9" s="2" t="inlineStr">
        <is>
          <t>Никиты Григорьева второй сынъ Гаврила</t>
        </is>
      </c>
      <c r="Q9" s="2" t="inlineStr">
        <is>
          <t>отчество образовано от имени отца</t>
        </is>
      </c>
      <c r="R9" s="2" t="inlineStr">
        <is>
          <t>https://ya.ru/archive/catalog/bfed2966-e671-4c18-bbb0-a9551ad28f8e/165</t>
        </is>
      </c>
    </row>
    <row r="10">
      <c r="A10" s="2" t="n">
        <v>165</v>
      </c>
      <c r="B10" s="2" t="inlineStr">
        <is>
          <t>д. Черепкова</t>
        </is>
      </c>
      <c r="C10" s="2" t="inlineStr">
        <is>
          <t>крестьяне</t>
        </is>
      </c>
      <c r="D10" s="2" t="n">
        <v>23</v>
      </c>
      <c r="E10" s="2" t="inlineStr">
        <is>
          <t>Стренин</t>
        </is>
      </c>
      <c r="F10" s="2" t="inlineStr">
        <is>
          <t>м</t>
        </is>
      </c>
      <c r="G10" s="2" t="inlineStr">
        <is>
          <t>165-м1-9</t>
        </is>
      </c>
      <c r="H10" s="2" t="inlineStr">
        <is>
          <t>Василий Гаврилов</t>
        </is>
      </c>
      <c r="I10" s="2" t="inlineStr">
        <is>
          <t>сын Гаврилы</t>
        </is>
      </c>
      <c r="J10" s="2" t="inlineStr">
        <is>
          <t>165-м1-8</t>
        </is>
      </c>
      <c r="K10" s="2" t="n"/>
      <c r="L10" s="2" t="n">
        <v>18</v>
      </c>
      <c r="M10" s="2" t="n">
        <v>1832</v>
      </c>
      <c r="N10" s="2" t="inlineStr">
        <is>
          <t>налицо</t>
        </is>
      </c>
      <c r="O10" s="2" t="n"/>
      <c r="P10" s="2" t="inlineStr">
        <is>
          <t>Гаврилы сыновья: Василій</t>
        </is>
      </c>
      <c r="Q10" s="2" t="inlineStr">
        <is>
          <t>отчество образовано от имени отца</t>
        </is>
      </c>
      <c r="R10" s="2" t="inlineStr">
        <is>
          <t>https://ya.ru/archive/catalog/bfed2966-e671-4c18-bbb0-a9551ad28f8e/165</t>
        </is>
      </c>
    </row>
    <row r="11">
      <c r="A11" s="2" t="n">
        <v>165</v>
      </c>
      <c r="B11" s="2" t="inlineStr">
        <is>
          <t>д. Черепкова</t>
        </is>
      </c>
      <c r="C11" s="2" t="inlineStr">
        <is>
          <t>крестьяне</t>
        </is>
      </c>
      <c r="D11" s="2" t="n">
        <v>23</v>
      </c>
      <c r="E11" s="2" t="inlineStr">
        <is>
          <t>Стренин</t>
        </is>
      </c>
      <c r="F11" s="2" t="inlineStr">
        <is>
          <t>м</t>
        </is>
      </c>
      <c r="G11" s="2" t="inlineStr">
        <is>
          <t>165-м1-10</t>
        </is>
      </c>
      <c r="H11" s="2" t="inlineStr">
        <is>
          <t>Павел Гаврилов</t>
        </is>
      </c>
      <c r="I11" s="2" t="inlineStr">
        <is>
          <t>сын Гаврилы</t>
        </is>
      </c>
      <c r="J11" s="2" t="inlineStr">
        <is>
          <t>165-м1-8</t>
        </is>
      </c>
      <c r="K11" s="2" t="inlineStr">
        <is>
          <t>новорожд.</t>
        </is>
      </c>
      <c r="L11" s="2" t="n">
        <v>10</v>
      </c>
      <c r="M11" s="2" t="n">
        <v>1840</v>
      </c>
      <c r="N11" s="2" t="inlineStr">
        <is>
          <t>налицо</t>
        </is>
      </c>
      <c r="O11" s="2" t="n"/>
      <c r="P11" s="2" t="inlineStr">
        <is>
          <t>Павелъ</t>
        </is>
      </c>
      <c r="Q11" s="2" t="inlineStr">
        <is>
          <t>отчество образовано от имени отца</t>
        </is>
      </c>
      <c r="R11" s="2" t="inlineStr">
        <is>
          <t>https://ya.ru/archive/catalog/bfed2966-e671-4c18-bbb0-a9551ad28f8e/165</t>
        </is>
      </c>
    </row>
    <row r="12">
      <c r="A12" s="2" t="n">
        <v>165</v>
      </c>
      <c r="B12" s="2" t="inlineStr">
        <is>
          <t>д. Черепкова</t>
        </is>
      </c>
      <c r="C12" s="2" t="inlineStr">
        <is>
          <t>крестьяне</t>
        </is>
      </c>
      <c r="D12" s="2" t="n">
        <v>23</v>
      </c>
      <c r="E12" s="2" t="inlineStr">
        <is>
          <t>Стренин</t>
        </is>
      </c>
      <c r="F12" s="2" t="inlineStr">
        <is>
          <t>м</t>
        </is>
      </c>
      <c r="G12" s="2" t="inlineStr">
        <is>
          <t>165-м1-11</t>
        </is>
      </c>
      <c r="H12" s="2" t="inlineStr">
        <is>
          <t>Прохор Гаврилов</t>
        </is>
      </c>
      <c r="I12" s="2" t="inlineStr">
        <is>
          <t>сын Гаврилы</t>
        </is>
      </c>
      <c r="J12" s="2" t="inlineStr">
        <is>
          <t>165-м1-8</t>
        </is>
      </c>
      <c r="K12" s="2" t="inlineStr">
        <is>
          <t>новорожд.</t>
        </is>
      </c>
      <c r="L12" s="2" t="inlineStr">
        <is>
          <t>3½</t>
        </is>
      </c>
      <c r="M12" s="2" t="n">
        <v>1846</v>
      </c>
      <c r="N12" s="2" t="inlineStr">
        <is>
          <t>налицо</t>
        </is>
      </c>
      <c r="O12" s="2" t="n"/>
      <c r="P12" s="2" t="inlineStr">
        <is>
          <t>Прохоръ</t>
        </is>
      </c>
      <c r="Q12" s="2" t="inlineStr">
        <is>
          <t>отчество образовано от имени отца</t>
        </is>
      </c>
      <c r="R12" s="2" t="inlineStr">
        <is>
          <t>https://ya.ru/archive/catalog/bfed2966-e671-4c18-bbb0-a9551ad28f8e/165</t>
        </is>
      </c>
    </row>
    <row r="13">
      <c r="A13" s="2" t="n">
        <v>165</v>
      </c>
      <c r="B13" s="2" t="inlineStr">
        <is>
          <t>д. Черепкова</t>
        </is>
      </c>
      <c r="C13" s="2" t="inlineStr">
        <is>
          <t>крестьяне</t>
        </is>
      </c>
      <c r="D13" s="2" t="n">
        <v>23</v>
      </c>
      <c r="E13" s="2" t="inlineStr">
        <is>
          <t>Стренин</t>
        </is>
      </c>
      <c r="F13" s="2" t="inlineStr">
        <is>
          <t>м</t>
        </is>
      </c>
      <c r="G13" s="2" t="inlineStr">
        <is>
          <t>165-м1-12</t>
        </is>
      </c>
      <c r="H13" s="2" t="inlineStr">
        <is>
          <t>Петр Гаврилов</t>
        </is>
      </c>
      <c r="I13" s="2" t="inlineStr">
        <is>
          <t>сын Гаврилы</t>
        </is>
      </c>
      <c r="J13" s="2" t="inlineStr">
        <is>
          <t>165-м1-8</t>
        </is>
      </c>
      <c r="K13" s="2" t="inlineStr">
        <is>
          <t>новорожд.</t>
        </is>
      </c>
      <c r="L13" s="2" t="inlineStr">
        <is>
          <t>½</t>
        </is>
      </c>
      <c r="M13" s="2" t="n">
        <v>1850</v>
      </c>
      <c r="N13" s="2" t="inlineStr">
        <is>
          <t>налицо</t>
        </is>
      </c>
      <c r="O13" s="2" t="n"/>
      <c r="P13" s="2" t="inlineStr">
        <is>
          <t>Петръ</t>
        </is>
      </c>
      <c r="Q13" s="2" t="inlineStr">
        <is>
          <t>отчество образовано от имени отца</t>
        </is>
      </c>
      <c r="R13" s="2" t="inlineStr">
        <is>
          <t>https://ya.ru/archive/catalog/bfed2966-e671-4c18-bbb0-a9551ad28f8e/165</t>
        </is>
      </c>
    </row>
    <row r="14">
      <c r="A14" t="n">
        <v>165</v>
      </c>
      <c r="B14" t="inlineStr">
        <is>
          <t>д. Черепкова</t>
        </is>
      </c>
      <c r="C14" t="inlineStr">
        <is>
          <t>крестьяне</t>
        </is>
      </c>
      <c r="D14" t="n">
        <v>24</v>
      </c>
      <c r="E14" t="inlineStr">
        <is>
          <t>Стренин</t>
        </is>
      </c>
      <c r="F14" t="inlineStr">
        <is>
          <t>м</t>
        </is>
      </c>
      <c r="G14" t="inlineStr">
        <is>
          <t>165-м2-1</t>
        </is>
      </c>
      <c r="H14" t="inlineStr">
        <is>
          <t>Пимен Григорьев Стренин</t>
        </is>
      </c>
      <c r="I14" t="inlineStr">
        <is>
          <t>глава</t>
        </is>
      </c>
      <c r="J14" t="inlineStr"/>
      <c r="K14" t="n">
        <v>41</v>
      </c>
      <c r="L14" t="n">
        <v>57</v>
      </c>
      <c r="M14" t="n">
        <v>1793</v>
      </c>
      <c r="N14" t="inlineStr">
        <is>
          <t>налицо</t>
        </is>
      </c>
      <c r="P14" t="inlineStr">
        <is>
          <t>Пименъ Григорьевъ Стрѣнинъ</t>
        </is>
      </c>
      <c r="R14" t="inlineStr">
        <is>
          <t>https://ya.ru/archive/catalog/bfed2966-e671-4c18-bbb0-a9551ad28f8e/165</t>
        </is>
      </c>
    </row>
    <row r="15">
      <c r="A15" s="2" t="n">
        <v>165</v>
      </c>
      <c r="B15" s="2" t="inlineStr">
        <is>
          <t>д. Черепкова</t>
        </is>
      </c>
      <c r="C15" s="2" t="inlineStr">
        <is>
          <t>крестьяне</t>
        </is>
      </c>
      <c r="D15" s="2" t="n">
        <v>24</v>
      </c>
      <c r="E15" s="2" t="inlineStr">
        <is>
          <t>Стренин</t>
        </is>
      </c>
      <c r="F15" s="2" t="inlineStr">
        <is>
          <t>м</t>
        </is>
      </c>
      <c r="G15" s="2" t="inlineStr">
        <is>
          <t>165-м2-2</t>
        </is>
      </c>
      <c r="H15" s="2" t="inlineStr">
        <is>
          <t>Алексей Пименов</t>
        </is>
      </c>
      <c r="I15" s="2" t="inlineStr">
        <is>
          <t>сын Пимена Григорьева</t>
        </is>
      </c>
      <c r="J15" s="2" t="inlineStr">
        <is>
          <t>165-м2-1</t>
        </is>
      </c>
      <c r="K15" s="2" t="n">
        <v>19</v>
      </c>
      <c r="L15" s="2" t="n"/>
      <c r="M15" s="2" t="n">
        <v>1815</v>
      </c>
      <c r="N15" s="2" t="inlineStr">
        <is>
          <t>выбыл</t>
        </is>
      </c>
      <c r="O15" s="2" t="inlineStr">
        <is>
          <t>отдан в рекруты 1845</t>
        </is>
      </c>
      <c r="P15" s="2" t="inlineStr">
        <is>
          <t>Пимена Григорьева сынъ Алексѣй</t>
        </is>
      </c>
      <c r="Q15" s="2" t="inlineStr">
        <is>
          <t>отчество образовано от имени отца</t>
        </is>
      </c>
      <c r="R15" s="2" t="inlineStr">
        <is>
          <t>https://ya.ru/archive/catalog/bfed2966-e671-4c18-bbb0-a9551ad28f8e/165</t>
        </is>
      </c>
    </row>
    <row r="16">
      <c r="A16" s="2" t="n">
        <v>165</v>
      </c>
      <c r="B16" s="2" t="inlineStr">
        <is>
          <t>д. Черепкова</t>
        </is>
      </c>
      <c r="C16" s="2" t="inlineStr">
        <is>
          <t>крестьяне</t>
        </is>
      </c>
      <c r="D16" s="2" t="n">
        <v>24</v>
      </c>
      <c r="E16" s="2" t="inlineStr">
        <is>
          <t>Стренин</t>
        </is>
      </c>
      <c r="F16" s="2" t="inlineStr">
        <is>
          <t>м</t>
        </is>
      </c>
      <c r="G16" s="2" t="inlineStr">
        <is>
          <t>165-м2-3</t>
        </is>
      </c>
      <c r="H16" s="2" t="inlineStr">
        <is>
          <t>Иван Алексеев</t>
        </is>
      </c>
      <c r="I16" s="2" t="inlineStr">
        <is>
          <t>сын Алексея</t>
        </is>
      </c>
      <c r="J16" s="2" t="inlineStr">
        <is>
          <t>165-м2-2</t>
        </is>
      </c>
      <c r="K16" s="2" t="inlineStr">
        <is>
          <t>новорожд.</t>
        </is>
      </c>
      <c r="L16" s="2" t="n"/>
      <c r="M16" s="2" t="inlineStr">
        <is>
          <t>после 1834</t>
        </is>
      </c>
      <c r="N16" s="2" t="inlineStr">
        <is>
          <t>налицо</t>
        </is>
      </c>
      <c r="O16" s="2" t="n"/>
      <c r="P16" s="2" t="inlineStr">
        <is>
          <t>Алексѣя сынъ Иванъ</t>
        </is>
      </c>
      <c r="Q16" s="2" t="inlineStr">
        <is>
          <t>отчество образовано от имени отца</t>
        </is>
      </c>
      <c r="R16" s="2" t="inlineStr">
        <is>
          <t>https://ya.ru/archive/catalog/bfed2966-e671-4c18-bbb0-a9551ad28f8e/165</t>
        </is>
      </c>
    </row>
    <row r="17">
      <c r="A17" s="2" t="n">
        <v>165</v>
      </c>
      <c r="B17" s="2" t="inlineStr">
        <is>
          <t>д. Черепкова</t>
        </is>
      </c>
      <c r="C17" s="2" t="inlineStr">
        <is>
          <t>крестьяне</t>
        </is>
      </c>
      <c r="D17" s="2" t="n">
        <v>24</v>
      </c>
      <c r="E17" s="2" t="inlineStr">
        <is>
          <t>Стренин</t>
        </is>
      </c>
      <c r="F17" s="2" t="inlineStr">
        <is>
          <t>м</t>
        </is>
      </c>
      <c r="G17" s="2" t="inlineStr">
        <is>
          <t>165-м2-4</t>
        </is>
      </c>
      <c r="H17" s="2" t="inlineStr">
        <is>
          <t>Афонасий Пименов</t>
        </is>
      </c>
      <c r="I17" s="2" t="inlineStr">
        <is>
          <t>второй сын Пимена Григорьева</t>
        </is>
      </c>
      <c r="J17" s="2" t="inlineStr">
        <is>
          <t>165-м2-1</t>
        </is>
      </c>
      <c r="K17" s="2" t="n">
        <v>13</v>
      </c>
      <c r="L17" s="2" t="n">
        <v>29</v>
      </c>
      <c r="M17" s="2" t="n">
        <v>1821</v>
      </c>
      <c r="N17" s="2" t="inlineStr">
        <is>
          <t>налицо</t>
        </is>
      </c>
      <c r="O17" s="2" t="n"/>
      <c r="P17" s="2" t="inlineStr">
        <is>
          <t>Пимена Григорьева второй сынъ Афонасій</t>
        </is>
      </c>
      <c r="Q17" s="2" t="inlineStr">
        <is>
          <t>отчество образовано от имени отца</t>
        </is>
      </c>
      <c r="R17" s="2" t="inlineStr">
        <is>
          <t>https://ya.ru/archive/catalog/bfed2966-e671-4c18-bbb0-a9551ad28f8e/165</t>
        </is>
      </c>
    </row>
    <row r="18">
      <c r="A18" s="2" t="n">
        <v>165</v>
      </c>
      <c r="B18" s="2" t="inlineStr">
        <is>
          <t>д. Черепкова</t>
        </is>
      </c>
      <c r="C18" s="2" t="inlineStr">
        <is>
          <t>крестьяне</t>
        </is>
      </c>
      <c r="D18" s="2" t="n">
        <v>24</v>
      </c>
      <c r="E18" s="2" t="inlineStr">
        <is>
          <t>Стренин</t>
        </is>
      </c>
      <c r="F18" s="2" t="inlineStr">
        <is>
          <t>м</t>
        </is>
      </c>
      <c r="G18" s="2" t="inlineStr">
        <is>
          <t>165-м2-5</t>
        </is>
      </c>
      <c r="H18" s="2" t="inlineStr">
        <is>
          <t>Алексей Афонасьев</t>
        </is>
      </c>
      <c r="I18" s="2" t="inlineStr">
        <is>
          <t>сын Афонасья</t>
        </is>
      </c>
      <c r="J18" s="2" t="inlineStr">
        <is>
          <t>165-м2-4</t>
        </is>
      </c>
      <c r="K18" s="2" t="inlineStr">
        <is>
          <t>новорожд.</t>
        </is>
      </c>
      <c r="L18" s="2" t="n"/>
      <c r="M18" s="2" t="inlineStr">
        <is>
          <t>после 1834</t>
        </is>
      </c>
      <c r="N18" s="2" t="inlineStr">
        <is>
          <t>налицо</t>
        </is>
      </c>
      <c r="O18" s="2" t="n"/>
      <c r="P18" s="2" t="inlineStr">
        <is>
          <t>Афонасья сынъ Алексѣй</t>
        </is>
      </c>
      <c r="Q18" s="2" t="inlineStr">
        <is>
          <t>отчество образовано от имени отца</t>
        </is>
      </c>
      <c r="R18" s="2" t="inlineStr">
        <is>
          <t>https://ya.ru/archive/catalog/bfed2966-e671-4c18-bbb0-a9551ad28f8e/165</t>
        </is>
      </c>
    </row>
    <row r="19">
      <c r="A19" t="n">
        <v>165</v>
      </c>
      <c r="B19" t="inlineStr">
        <is>
          <t>д. Черепкова</t>
        </is>
      </c>
      <c r="C19" t="inlineStr">
        <is>
          <t>крестьяне</t>
        </is>
      </c>
      <c r="D19" t="n">
        <v>23</v>
      </c>
      <c r="E19" t="inlineStr">
        <is>
          <t>Стренин</t>
        </is>
      </c>
      <c r="F19" t="inlineStr">
        <is>
          <t>ж</t>
        </is>
      </c>
      <c r="G19" t="inlineStr">
        <is>
          <t>165-ж1-1</t>
        </is>
      </c>
      <c r="H19" t="inlineStr">
        <is>
          <t>Марья Иванова</t>
        </is>
      </c>
      <c r="I19" t="inlineStr">
        <is>
          <t>жена Степана Никитина</t>
        </is>
      </c>
      <c r="J19" t="inlineStr">
        <is>
          <t>165-м1-2</t>
        </is>
      </c>
      <c r="L19" t="n">
        <v>44</v>
      </c>
      <c r="M19" t="n">
        <v>1806</v>
      </c>
      <c r="N19" t="inlineStr">
        <is>
          <t>налицо</t>
        </is>
      </c>
      <c r="P19" t="inlineStr">
        <is>
          <t>Степана Никитина жена Марья Иванова</t>
        </is>
      </c>
      <c r="R19" t="inlineStr">
        <is>
          <t>https://ya.ru/archive/catalog/bfed2966-e671-4c18-bbb0-a9551ad28f8e/165</t>
        </is>
      </c>
    </row>
    <row r="20">
      <c r="A20" s="2" t="n">
        <v>165</v>
      </c>
      <c r="B20" s="2" t="inlineStr">
        <is>
          <t>д. Черепкова</t>
        </is>
      </c>
      <c r="C20" s="2" t="inlineStr">
        <is>
          <t>крестьяне</t>
        </is>
      </c>
      <c r="D20" s="2" t="n">
        <v>23</v>
      </c>
      <c r="E20" s="2" t="inlineStr">
        <is>
          <t>Стренин</t>
        </is>
      </c>
      <c r="F20" s="2" t="inlineStr">
        <is>
          <t>ж</t>
        </is>
      </c>
      <c r="G20" s="2" t="inlineStr">
        <is>
          <t>165-ж1-2</t>
        </is>
      </c>
      <c r="H20" s="2" t="inlineStr">
        <is>
          <t>Вера Степанова</t>
        </is>
      </c>
      <c r="I20" s="2" t="inlineStr">
        <is>
          <t>дочь Степана Никитина</t>
        </is>
      </c>
      <c r="J20" s="2" t="inlineStr">
        <is>
          <t>165-м1-2</t>
        </is>
      </c>
      <c r="K20" s="2" t="n"/>
      <c r="L20" s="2" t="inlineStr">
        <is>
          <t>7½</t>
        </is>
      </c>
      <c r="M20" s="2" t="n">
        <v>1842</v>
      </c>
      <c r="N20" s="2" t="inlineStr">
        <is>
          <t>налицо</t>
        </is>
      </c>
      <c r="O20" s="2" t="n"/>
      <c r="P20" s="2" t="inlineStr">
        <is>
          <t>Его же дочь Вѣра</t>
        </is>
      </c>
      <c r="Q20" s="2" t="inlineStr">
        <is>
          <t>отчество образовано от имени отца</t>
        </is>
      </c>
      <c r="R20" s="2" t="inlineStr">
        <is>
          <t>https://ya.ru/archive/catalog/bfed2966-e671-4c18-bbb0-a9551ad28f8e/165</t>
        </is>
      </c>
    </row>
    <row r="21">
      <c r="A21" t="n">
        <v>165</v>
      </c>
      <c r="B21" t="inlineStr">
        <is>
          <t>д. Черепкова</t>
        </is>
      </c>
      <c r="C21" t="inlineStr">
        <is>
          <t>крестьяне</t>
        </is>
      </c>
      <c r="D21" t="n">
        <v>23</v>
      </c>
      <c r="E21" t="inlineStr">
        <is>
          <t>Стренин</t>
        </is>
      </c>
      <c r="F21" t="inlineStr">
        <is>
          <t>ж</t>
        </is>
      </c>
      <c r="G21" t="inlineStr">
        <is>
          <t>165-ж2-1</t>
        </is>
      </c>
      <c r="H21" t="inlineStr">
        <is>
          <t>Палагея Ильина</t>
        </is>
      </c>
      <c r="I21" t="inlineStr">
        <is>
          <t>жена Гаврилы Никитина</t>
        </is>
      </c>
      <c r="J21" t="inlineStr">
        <is>
          <t>165-м1-8</t>
        </is>
      </c>
      <c r="L21" t="n">
        <v>42</v>
      </c>
      <c r="M21" t="n">
        <v>1808</v>
      </c>
      <c r="N21" t="inlineStr">
        <is>
          <t>налицо</t>
        </is>
      </c>
      <c r="P21" t="inlineStr">
        <is>
          <t>Гаврилы Никитина жена Палагея Ильина</t>
        </is>
      </c>
      <c r="R21" t="inlineStr">
        <is>
          <t>https://ya.ru/archive/catalog/bfed2966-e671-4c18-bbb0-a9551ad28f8e/165</t>
        </is>
      </c>
    </row>
    <row r="22">
      <c r="A22" s="2" t="n">
        <v>165</v>
      </c>
      <c r="B22" s="2" t="inlineStr">
        <is>
          <t>д. Черепкова</t>
        </is>
      </c>
      <c r="C22" s="2" t="inlineStr">
        <is>
          <t>крестьяне</t>
        </is>
      </c>
      <c r="D22" s="2" t="n">
        <v>23</v>
      </c>
      <c r="E22" s="2" t="inlineStr">
        <is>
          <t>Стренин</t>
        </is>
      </c>
      <c r="F22" s="2" t="inlineStr">
        <is>
          <t>ж</t>
        </is>
      </c>
      <c r="G22" s="2" t="inlineStr">
        <is>
          <t>165-ж2-2</t>
        </is>
      </c>
      <c r="H22" s="2" t="inlineStr">
        <is>
          <t>Марфа Гаврилова</t>
        </is>
      </c>
      <c r="I22" s="2" t="inlineStr">
        <is>
          <t>дочь Гаврилы Никитина</t>
        </is>
      </c>
      <c r="J22" s="2" t="inlineStr">
        <is>
          <t>165-м1-8</t>
        </is>
      </c>
      <c r="K22" s="2" t="n"/>
      <c r="L22" s="2" t="n">
        <v>16</v>
      </c>
      <c r="M22" s="2" t="n">
        <v>1834</v>
      </c>
      <c r="N22" s="2" t="inlineStr">
        <is>
          <t>налицо</t>
        </is>
      </c>
      <c r="O22" s="2" t="n"/>
      <c r="P22" s="2" t="inlineStr">
        <is>
          <t>Его же дочери Марфа</t>
        </is>
      </c>
      <c r="Q22" s="2" t="inlineStr">
        <is>
          <t>отчество образовано от имени отца</t>
        </is>
      </c>
      <c r="R22" s="2" t="inlineStr">
        <is>
          <t>https://ya.ru/archive/catalog/bfed2966-e671-4c18-bbb0-a9551ad28f8e/165</t>
        </is>
      </c>
    </row>
    <row r="23">
      <c r="A23" s="2" t="n">
        <v>165</v>
      </c>
      <c r="B23" s="2" t="inlineStr">
        <is>
          <t>д. Черепкова</t>
        </is>
      </c>
      <c r="C23" s="2" t="inlineStr">
        <is>
          <t>крестьяне</t>
        </is>
      </c>
      <c r="D23" s="2" t="n">
        <v>23</v>
      </c>
      <c r="E23" s="2" t="inlineStr">
        <is>
          <t>Стренин</t>
        </is>
      </c>
      <c r="F23" s="2" t="inlineStr">
        <is>
          <t>ж</t>
        </is>
      </c>
      <c r="G23" s="2" t="inlineStr">
        <is>
          <t>165-ж2-3</t>
        </is>
      </c>
      <c r="H23" s="2" t="inlineStr">
        <is>
          <t>Прасковья Гаврилова</t>
        </is>
      </c>
      <c r="I23" s="2" t="inlineStr">
        <is>
          <t>дочь Гаврилы Никитина</t>
        </is>
      </c>
      <c r="J23" s="2" t="inlineStr">
        <is>
          <t>165-м1-8</t>
        </is>
      </c>
      <c r="K23" s="2" t="n"/>
      <c r="L23" s="2" t="n">
        <v>14</v>
      </c>
      <c r="M23" s="2" t="n">
        <v>1836</v>
      </c>
      <c r="N23" s="2" t="inlineStr">
        <is>
          <t>налицо</t>
        </is>
      </c>
      <c r="O23" s="2" t="n"/>
      <c r="P23" s="2" t="inlineStr">
        <is>
          <t>Прасковья</t>
        </is>
      </c>
      <c r="Q23" s="2" t="inlineStr">
        <is>
          <t>отчество образовано от имени отца</t>
        </is>
      </c>
      <c r="R23" s="2" t="inlineStr">
        <is>
          <t>https://ya.ru/archive/catalog/bfed2966-e671-4c18-bbb0-a9551ad28f8e/165</t>
        </is>
      </c>
    </row>
    <row r="24">
      <c r="A24" s="2" t="n">
        <v>165</v>
      </c>
      <c r="B24" s="2" t="inlineStr">
        <is>
          <t>д. Черепкова</t>
        </is>
      </c>
      <c r="C24" s="2" t="inlineStr">
        <is>
          <t>крестьяне</t>
        </is>
      </c>
      <c r="D24" s="2" t="n">
        <v>23</v>
      </c>
      <c r="E24" s="2" t="inlineStr">
        <is>
          <t>Стренин</t>
        </is>
      </c>
      <c r="F24" s="2" t="inlineStr">
        <is>
          <t>ж</t>
        </is>
      </c>
      <c r="G24" s="2" t="inlineStr">
        <is>
          <t>165-ж2-4</t>
        </is>
      </c>
      <c r="H24" s="2" t="inlineStr">
        <is>
          <t>Варвара Гаврилова</t>
        </is>
      </c>
      <c r="I24" s="2" t="inlineStr">
        <is>
          <t>дочь Гаврилы Никитина</t>
        </is>
      </c>
      <c r="J24" s="2" t="inlineStr">
        <is>
          <t>165-м1-8</t>
        </is>
      </c>
      <c r="K24" s="2" t="n"/>
      <c r="L24" s="2" t="inlineStr">
        <is>
          <t>6½</t>
        </is>
      </c>
      <c r="M24" s="2" t="n">
        <v>1844</v>
      </c>
      <c r="N24" s="2" t="inlineStr">
        <is>
          <t>налицо</t>
        </is>
      </c>
      <c r="O24" s="2" t="n"/>
      <c r="P24" s="2" t="inlineStr">
        <is>
          <t>Варвара</t>
        </is>
      </c>
      <c r="Q24" s="2" t="inlineStr">
        <is>
          <t>отчество образовано от имени отца</t>
        </is>
      </c>
      <c r="R24" s="2" t="inlineStr">
        <is>
          <t>https://ya.ru/archive/catalog/bfed2966-e671-4c18-bbb0-a9551ad28f8e/165</t>
        </is>
      </c>
    </row>
    <row r="25">
      <c r="A25" t="n">
        <v>165</v>
      </c>
      <c r="B25" t="inlineStr">
        <is>
          <t>д. Черепкова</t>
        </is>
      </c>
      <c r="C25" t="inlineStr">
        <is>
          <t>крестьяне</t>
        </is>
      </c>
      <c r="D25" t="n">
        <v>24</v>
      </c>
      <c r="E25" t="inlineStr">
        <is>
          <t>Стренин</t>
        </is>
      </c>
      <c r="F25" t="inlineStr">
        <is>
          <t>ж</t>
        </is>
      </c>
      <c r="G25" t="inlineStr">
        <is>
          <t>165-ж3-1</t>
        </is>
      </c>
      <c r="H25" t="inlineStr">
        <is>
          <t>Наталья Семенова</t>
        </is>
      </c>
      <c r="I25" t="inlineStr">
        <is>
          <t>жена Пимена Григорьева</t>
        </is>
      </c>
      <c r="J25" t="inlineStr">
        <is>
          <t>165-м2-1</t>
        </is>
      </c>
      <c r="L25" t="n">
        <v>54</v>
      </c>
      <c r="M25" t="n">
        <v>1796</v>
      </c>
      <c r="N25" t="inlineStr">
        <is>
          <t>налицо</t>
        </is>
      </c>
      <c r="P25" t="inlineStr">
        <is>
          <t>Пимена Григорьева жена Наталья Семенова</t>
        </is>
      </c>
      <c r="R25" t="inlineStr">
        <is>
          <t>https://ya.ru/archive/catalog/bfed2966-e671-4c18-bbb0-a9551ad28f8e/165</t>
        </is>
      </c>
    </row>
    <row r="26">
      <c r="A26" s="2" t="n">
        <v>165</v>
      </c>
      <c r="B26" s="2" t="inlineStr">
        <is>
          <t>д. Черепкова</t>
        </is>
      </c>
      <c r="C26" s="2" t="inlineStr">
        <is>
          <t>крестьяне</t>
        </is>
      </c>
      <c r="D26" s="2" t="n">
        <v>24</v>
      </c>
      <c r="E26" s="2" t="inlineStr">
        <is>
          <t>Стренин</t>
        </is>
      </c>
      <c r="F26" s="2" t="inlineStr">
        <is>
          <t>ж</t>
        </is>
      </c>
      <c r="G26" s="2" t="inlineStr">
        <is>
          <t>165-ж4-1</t>
        </is>
      </c>
      <c r="H26" s="2" t="inlineStr">
        <is>
          <t>Александра Алексеева</t>
        </is>
      </c>
      <c r="I26" s="2" t="inlineStr">
        <is>
          <t>дочь Алексея Пименова</t>
        </is>
      </c>
      <c r="J26" s="2" t="inlineStr">
        <is>
          <t>165-м2-2</t>
        </is>
      </c>
      <c r="K26" s="2" t="n"/>
      <c r="L26" s="2" t="n">
        <v>13</v>
      </c>
      <c r="M26" s="2" t="n">
        <v>1837</v>
      </c>
      <c r="N26" s="2" t="inlineStr">
        <is>
          <t>налицо</t>
        </is>
      </c>
      <c r="O26" s="2" t="n"/>
      <c r="P26" s="2" t="inlineStr">
        <is>
          <t>Алексѣя Пименова дочери Александра</t>
        </is>
      </c>
      <c r="Q26" s="2" t="inlineStr">
        <is>
          <t>отчество образовано от имени отца</t>
        </is>
      </c>
      <c r="R26" s="2" t="inlineStr">
        <is>
          <t>https://ya.ru/archive/catalog/bfed2966-e671-4c18-bbb0-a9551ad28f8e/165</t>
        </is>
      </c>
    </row>
    <row r="27">
      <c r="A27" s="2" t="n">
        <v>165</v>
      </c>
      <c r="B27" s="2" t="inlineStr">
        <is>
          <t>д. Черепкова</t>
        </is>
      </c>
      <c r="C27" s="2" t="inlineStr">
        <is>
          <t>крестьяне</t>
        </is>
      </c>
      <c r="D27" s="2" t="n">
        <v>24</v>
      </c>
      <c r="E27" s="2" t="inlineStr">
        <is>
          <t>Стренин</t>
        </is>
      </c>
      <c r="F27" s="2" t="inlineStr">
        <is>
          <t>ж</t>
        </is>
      </c>
      <c r="G27" s="2" t="inlineStr">
        <is>
          <t>165-ж4-2</t>
        </is>
      </c>
      <c r="H27" s="2" t="inlineStr">
        <is>
          <t>Матрена Алексеева</t>
        </is>
      </c>
      <c r="I27" s="2" t="inlineStr">
        <is>
          <t>дочь Алексея Пименова</t>
        </is>
      </c>
      <c r="J27" s="2" t="inlineStr">
        <is>
          <t>165-м2-2</t>
        </is>
      </c>
      <c r="K27" s="2" t="n"/>
      <c r="L27" s="2" t="n">
        <v>12</v>
      </c>
      <c r="M27" s="2" t="n">
        <v>1838</v>
      </c>
      <c r="N27" s="2" t="inlineStr">
        <is>
          <t>налицо</t>
        </is>
      </c>
      <c r="O27" s="2" t="n"/>
      <c r="P27" s="2" t="inlineStr">
        <is>
          <t>Матрена</t>
        </is>
      </c>
      <c r="Q27" s="2" t="inlineStr">
        <is>
          <t>отчество образовано от имени отца</t>
        </is>
      </c>
      <c r="R27" s="2" t="inlineStr">
        <is>
          <t>https://ya.ru/archive/catalog/bfed2966-e671-4c18-bbb0-a9551ad28f8e/165</t>
        </is>
      </c>
    </row>
    <row r="28">
      <c r="A28" t="n">
        <v>165</v>
      </c>
      <c r="B28" t="inlineStr">
        <is>
          <t>д. Черепкова</t>
        </is>
      </c>
      <c r="C28" t="inlineStr">
        <is>
          <t>крестьяне</t>
        </is>
      </c>
      <c r="D28" t="n">
        <v>24</v>
      </c>
      <c r="E28" t="inlineStr">
        <is>
          <t>Стренин</t>
        </is>
      </c>
      <c r="F28" t="inlineStr">
        <is>
          <t>ж</t>
        </is>
      </c>
      <c r="G28" t="inlineStr">
        <is>
          <t>165-ж5-1</t>
        </is>
      </c>
      <c r="H28" t="inlineStr">
        <is>
          <t>Авдотья Павлова</t>
        </is>
      </c>
      <c r="I28" t="inlineStr">
        <is>
          <t>жена Афонасья Пименова</t>
        </is>
      </c>
      <c r="J28" t="inlineStr">
        <is>
          <t>165-м2-4</t>
        </is>
      </c>
      <c r="L28" t="n">
        <v>27</v>
      </c>
      <c r="M28" t="n">
        <v>1823</v>
      </c>
      <c r="N28" t="inlineStr">
        <is>
          <t>налицо</t>
        </is>
      </c>
      <c r="P28" t="inlineStr">
        <is>
          <t>Афонасья Пименова жена Авдотья Павлова</t>
        </is>
      </c>
      <c r="R28" t="inlineStr">
        <is>
          <t>https://ya.ru/archive/catalog/bfed2966-e671-4c18-bbb0-a9551ad28f8e/165</t>
        </is>
      </c>
    </row>
    <row r="29">
      <c r="A29" s="2" t="n">
        <v>165</v>
      </c>
      <c r="B29" s="2" t="inlineStr">
        <is>
          <t>д. Черепкова</t>
        </is>
      </c>
      <c r="C29" s="2" t="inlineStr">
        <is>
          <t>крестьяне</t>
        </is>
      </c>
      <c r="D29" s="2" t="n">
        <v>24</v>
      </c>
      <c r="E29" s="2" t="inlineStr">
        <is>
          <t>Стренин</t>
        </is>
      </c>
      <c r="F29" s="2" t="inlineStr">
        <is>
          <t>ж</t>
        </is>
      </c>
      <c r="G29" s="2" t="inlineStr">
        <is>
          <t>165-ж5-2</t>
        </is>
      </c>
      <c r="H29" s="2" t="inlineStr">
        <is>
          <t>Палагея Афонасьева</t>
        </is>
      </c>
      <c r="I29" s="2" t="inlineStr">
        <is>
          <t>дочь Афонасья Пименова</t>
        </is>
      </c>
      <c r="J29" s="2" t="inlineStr">
        <is>
          <t>165-м2-4</t>
        </is>
      </c>
      <c r="K29" s="2" t="n"/>
      <c r="L29" s="2" t="inlineStr">
        <is>
          <t>мес.</t>
        </is>
      </c>
      <c r="M29" s="2" t="n">
        <v>1850</v>
      </c>
      <c r="N29" s="2" t="inlineStr">
        <is>
          <t>налицо</t>
        </is>
      </c>
      <c r="O29" s="2" t="n"/>
      <c r="P29" s="2" t="inlineStr">
        <is>
          <t>Его же дочь Палагея</t>
        </is>
      </c>
      <c r="Q29" s="2" t="inlineStr">
        <is>
          <t>отчество образовано от имени отца</t>
        </is>
      </c>
      <c r="R29" s="2" t="inlineStr">
        <is>
          <t>https://ya.ru/archive/catalog/bfed2966-e671-4c18-bbb0-a9551ad28f8e/165</t>
        </is>
      </c>
    </row>
  </sheetData>
  <autoFilter ref="A1:R29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3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Селение</t>
        </is>
      </c>
      <c r="B1" s="1" t="inlineStr">
        <is>
          <t>Семья №</t>
        </is>
      </c>
      <c r="C1" s="1" t="inlineStr">
        <is>
          <t>Сканы</t>
        </is>
      </c>
      <c r="D1" s="1" t="inlineStr">
        <is>
          <t>Глава</t>
        </is>
      </c>
      <c r="E1" s="1" t="inlineStr">
        <is>
          <t>Фамилия</t>
        </is>
      </c>
      <c r="F1" s="1" t="inlineStr">
        <is>
          <t>Мужчин в списке</t>
        </is>
      </c>
      <c r="G1" s="1" t="inlineStr">
        <is>
          <t>Женщин в списке</t>
        </is>
      </c>
      <c r="H1" s="1" t="inlineStr">
        <is>
          <t>Мужчин налицо</t>
        </is>
      </c>
      <c r="I1" s="1" t="inlineStr">
        <is>
          <t>Женщин налицо</t>
        </is>
      </c>
    </row>
    <row r="2">
      <c r="A2" t="inlineStr">
        <is>
          <t>д. Черепкова</t>
        </is>
      </c>
      <c r="B2" t="n">
        <v>23</v>
      </c>
      <c r="C2" t="inlineStr">
        <is>
          <t>165</t>
        </is>
      </c>
      <c r="D2" t="inlineStr">
        <is>
          <t>Никита Григорьев Стренин</t>
        </is>
      </c>
      <c r="E2" t="inlineStr">
        <is>
          <t>Стренин</t>
        </is>
      </c>
      <c r="F2" t="n">
        <v>12</v>
      </c>
      <c r="G2" t="n">
        <v>6</v>
      </c>
      <c r="H2" t="n">
        <v>10</v>
      </c>
      <c r="I2" t="n">
        <v>6</v>
      </c>
    </row>
    <row r="3">
      <c r="A3" t="inlineStr">
        <is>
          <t>д. Черепкова</t>
        </is>
      </c>
      <c r="B3" t="n">
        <v>24</v>
      </c>
      <c r="C3" t="inlineStr">
        <is>
          <t>165</t>
        </is>
      </c>
      <c r="D3" t="inlineStr">
        <is>
          <t>Пимен Григорьев Стренин</t>
        </is>
      </c>
      <c r="E3" t="inlineStr">
        <is>
          <t>Стренин</t>
        </is>
      </c>
      <c r="F3" t="n">
        <v>5</v>
      </c>
      <c r="G3" t="n">
        <v>5</v>
      </c>
      <c r="H3" t="n">
        <v>4</v>
      </c>
      <c r="I3" t="n">
        <v>5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5" customWidth="1" min="4" max="4"/>
    <col width="80" customWidth="1" min="5" max="5"/>
    <col width="9" customWidth="1" min="6" max="6"/>
    <col width="9" customWidth="1" min="7" max="7"/>
    <col width="30" customWidth="1" min="8" max="8"/>
  </cols>
  <sheetData>
    <row r="1">
      <c r="A1" s="1" t="inlineStr">
        <is>
          <t>Скан</t>
        </is>
      </c>
      <c r="B1" s="1" t="inlineStr">
        <is>
          <t>Селение</t>
        </is>
      </c>
      <c r="C1" s="1" t="inlineStr">
        <is>
          <t>Семья №</t>
        </is>
      </c>
      <c r="D1" s="1" t="inlineStr">
        <is>
          <t>Пол</t>
        </is>
      </c>
      <c r="E1" s="1" t="inlineStr">
        <is>
          <t>Текст блока (как распознан)</t>
        </is>
      </c>
      <c r="F1" s="1" t="inlineStr">
        <is>
          <t>Строк в таблице</t>
        </is>
      </c>
      <c r="G1" s="1" t="inlineStr">
        <is>
          <t>Людей найдено в тексте</t>
        </is>
      </c>
      <c r="H1" s="1" t="inlineStr">
        <is>
          <t>Проверить</t>
        </is>
      </c>
    </row>
    <row r="2">
      <c r="A2" t="n">
        <v>165</v>
      </c>
      <c r="B2" t="inlineStr">
        <is>
          <t>д. Черепкова</t>
        </is>
      </c>
      <c r="C2" t="n">
        <v>23</v>
      </c>
      <c r="D2" t="inlineStr">
        <is>
          <t>м</t>
        </is>
      </c>
      <c r="E2" t="inlineStr">
        <is>
          <t>Никита Григорьевъ Стрѣнинъ Никиты Григорьева сынъ Степанъ Степана сыновья: федоръ Николай Алексѣй Василій Алексѣй меньшой Никиты Григорьева второй сынъ Гаврила Гаврилы сыновья: Василій Павелъ Прохоръ Петръ</t>
        </is>
      </c>
      <c r="F2" t="n">
        <v>12</v>
      </c>
      <c r="G2" t="n">
        <v>12</v>
      </c>
    </row>
    <row r="3">
      <c r="A3" t="n">
        <v>165</v>
      </c>
      <c r="B3" t="inlineStr">
        <is>
          <t>д. Черепкова</t>
        </is>
      </c>
      <c r="C3" t="n">
        <v>24</v>
      </c>
      <c r="D3" t="inlineStr">
        <is>
          <t>м</t>
        </is>
      </c>
      <c r="E3" t="inlineStr">
        <is>
          <t>Пименъ Григорьевъ Стрѣнинъ Пимена Григорьева сынъ Алексѣй Алексѣя сынъ Иванъ Пимена Григорьева второй сынъ Афонасій Афонасья сынъ Алексѣй</t>
        </is>
      </c>
      <c r="F3" t="n">
        <v>5</v>
      </c>
      <c r="G3" t="n">
        <v>5</v>
      </c>
    </row>
    <row r="4">
      <c r="A4" t="n">
        <v>165</v>
      </c>
      <c r="B4" t="inlineStr">
        <is>
          <t>д. Черепкова</t>
        </is>
      </c>
      <c r="C4" t="n">
        <v>23</v>
      </c>
      <c r="D4" t="inlineStr">
        <is>
          <t>ж</t>
        </is>
      </c>
      <c r="E4" t="inlineStr">
        <is>
          <t>Степана Никитина жена Марья Иванова Его же дочь Вѣра</t>
        </is>
      </c>
      <c r="F4" t="n">
        <v>2</v>
      </c>
      <c r="G4" t="n">
        <v>2</v>
      </c>
    </row>
    <row r="5">
      <c r="A5" t="n">
        <v>165</v>
      </c>
      <c r="B5" t="inlineStr">
        <is>
          <t>д. Черепкова</t>
        </is>
      </c>
      <c r="C5" t="n">
        <v>23</v>
      </c>
      <c r="D5" t="inlineStr">
        <is>
          <t>ж</t>
        </is>
      </c>
      <c r="E5" t="inlineStr">
        <is>
          <t>Гаврилы Никитина жена Палагея Ильина Его же дочери Марфа Прасковья Варвара</t>
        </is>
      </c>
      <c r="F5" t="n">
        <v>4</v>
      </c>
      <c r="G5" t="n">
        <v>4</v>
      </c>
    </row>
    <row r="6">
      <c r="A6" t="n">
        <v>165</v>
      </c>
      <c r="B6" t="inlineStr">
        <is>
          <t>д. Черепкова</t>
        </is>
      </c>
      <c r="C6" t="n">
        <v>24</v>
      </c>
      <c r="D6" t="inlineStr">
        <is>
          <t>ж</t>
        </is>
      </c>
      <c r="E6" t="inlineStr">
        <is>
          <t>Пимена Григорьева жена Наталья Семенова</t>
        </is>
      </c>
      <c r="F6" t="n">
        <v>1</v>
      </c>
      <c r="G6" t="n">
        <v>1</v>
      </c>
    </row>
    <row r="7">
      <c r="A7" t="n">
        <v>165</v>
      </c>
      <c r="B7" t="inlineStr">
        <is>
          <t>д. Черепкова</t>
        </is>
      </c>
      <c r="C7" t="n">
        <v>24</v>
      </c>
      <c r="D7" t="inlineStr">
        <is>
          <t>ж</t>
        </is>
      </c>
      <c r="E7" t="inlineStr">
        <is>
          <t>Алексѣя Пименова дочери Александра Матрена</t>
        </is>
      </c>
      <c r="F7" t="n">
        <v>2</v>
      </c>
      <c r="G7" t="n">
        <v>2</v>
      </c>
    </row>
    <row r="8">
      <c r="A8" t="n">
        <v>165</v>
      </c>
      <c r="B8" t="inlineStr">
        <is>
          <t>д. Черепкова</t>
        </is>
      </c>
      <c r="C8" t="n">
        <v>24</v>
      </c>
      <c r="D8" t="inlineStr">
        <is>
          <t>ж</t>
        </is>
      </c>
      <c r="E8" t="inlineStr">
        <is>
          <t>Афонасья Пименова жена Авдотья Павлова Его же дочь Палагея</t>
        </is>
      </c>
      <c r="F8" t="n">
        <v>2</v>
      </c>
      <c r="G8" t="n">
        <v>2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30" customWidth="1" min="9" max="9"/>
    <col width="60" customWidth="1" min="10" max="10"/>
    <col width="30" customWidth="1" min="11" max="11"/>
  </cols>
  <sheetData>
    <row r="1">
      <c r="A1" s="1" t="inlineStr">
        <is>
          <t>Скан</t>
        </is>
      </c>
      <c r="B1" s="1" t="inlineStr">
        <is>
          <t>Селение</t>
        </is>
      </c>
      <c r="C1" s="1" t="inlineStr">
        <is>
          <t>Сословие</t>
        </is>
      </c>
      <c r="D1" s="1" t="inlineStr">
        <is>
          <t>Итог М (на скане)</t>
        </is>
      </c>
      <c r="E1" s="1" t="inlineStr">
        <is>
          <t>М налицо по строкам</t>
        </is>
      </c>
      <c r="F1" s="1" t="inlineStr">
        <is>
          <t>Итог Ж (на скане)</t>
        </is>
      </c>
      <c r="G1" s="1" t="inlineStr">
        <is>
          <t>Ж налицо по строкам</t>
        </is>
      </c>
      <c r="H1" s="1" t="inlineStr">
        <is>
          <t>Итоги сошлись</t>
        </is>
      </c>
      <c r="I1" s="1" t="inlineStr">
        <is>
          <t>Проверить</t>
        </is>
      </c>
      <c r="J1" s="1" t="inlineStr">
        <is>
          <t>Шапка страницы</t>
        </is>
      </c>
      <c r="K1" s="1" t="inlineStr">
        <is>
          <t>Ссылка</t>
        </is>
      </c>
    </row>
    <row r="2">
      <c r="A2" t="n">
        <v>165</v>
      </c>
      <c r="B2" t="inlineStr">
        <is>
          <t>д. Черепкова</t>
        </is>
      </c>
      <c r="C2" t="inlineStr">
        <is>
          <t>крестьяне</t>
        </is>
      </c>
      <c r="D2" t="n">
        <v>14</v>
      </c>
      <c r="E2" t="n">
        <v>14</v>
      </c>
      <c r="F2" t="n">
        <v>11</v>
      </c>
      <c r="G2" t="n">
        <v>11</v>
      </c>
      <c r="H2" t="inlineStr">
        <is>
          <t>да</t>
        </is>
      </c>
      <c r="J2" t="inlineStr">
        <is>
          <t>РЕВИЗСКАЯ СКАЗКА. | РЕВИЗСКАЯ СКАЗКА. | 1850 года Iюля 10 дня, Московской губерніи и уѣзда деревни Черепковой. | 1850 года Іюля 10 дня, Московской губерніи и уѣзда деревни Черепковой | МУЖЕСКIЙ ПОЛЪ. | По послѣдней ревизiи состояло и послѣ оной прибыло. | Изъ того числа выбыло. | Нынѣ на лицо. | ЖЕНСКIЙ ПОЛЪ. | Во временной отлучкѣ. | Нынѣ на лицо.</t>
        </is>
      </c>
      <c r="K2" t="inlineStr">
        <is>
          <t>https://ya.ru/archive/catalog/bfed2966-e671-4c18-bbb0-a9551ad28f8e/165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9" customWidth="1" min="7" max="7"/>
  </cols>
  <sheetData>
    <row r="1">
      <c r="A1" s="3" t="inlineStr">
        <is>
          <t>Селение</t>
        </is>
      </c>
      <c r="B1" s="3" t="inlineStr">
        <is>
          <t>Мужчин в списке</t>
        </is>
      </c>
      <c r="C1" s="3" t="inlineStr">
        <is>
          <t>Женщин в списке</t>
        </is>
      </c>
      <c r="D1" s="3" t="inlineStr">
        <is>
          <t>Всего</t>
        </is>
      </c>
      <c r="E1" s="3" t="inlineStr">
        <is>
          <t>Мужчин налицо</t>
        </is>
      </c>
      <c r="F1" s="3" t="inlineStr">
        <is>
          <t>Женщин налицо</t>
        </is>
      </c>
      <c r="G1" s="3" t="inlineStr">
        <is>
          <t>Выбыло</t>
        </is>
      </c>
    </row>
    <row r="2">
      <c r="A2" t="inlineStr">
        <is>
          <t>д. Черепкова</t>
        </is>
      </c>
      <c r="B2">
        <f>COUNTIFS(Люди!$B$2:$B$29,A2,Люди!$F$2:$F$29,"м")</f>
        <v/>
      </c>
      <c r="C2">
        <f>COUNTIFS(Люди!$B$2:$B$29,A2,Люди!$F$2:$F$29,"ж")</f>
        <v/>
      </c>
      <c r="D2">
        <f>B2+C2</f>
        <v/>
      </c>
      <c r="E2">
        <f>COUNTIFS(Люди!$B$2:$B$29,A2,Люди!$F$2:$F$29,"м",Люди!$N$2:$N$29,"&lt;&gt;выбыл")</f>
        <v/>
      </c>
      <c r="F2">
        <f>COUNTIFS(Люди!$B$2:$B$29,A2,Люди!$F$2:$F$29,"ж",Люди!$N$2:$N$29,"&lt;&gt;выбыл")</f>
        <v/>
      </c>
      <c r="G2">
        <f>COUNTIFS(Люди!$B$2:$B$29,A2,Люди!$N$2:$N$29,"выбыл")</f>
        <v/>
      </c>
    </row>
    <row r="3">
      <c r="A3" s="4" t="inlineStr">
        <is>
          <t>Итого</t>
        </is>
      </c>
      <c r="B3" s="4">
        <f>SUM(B2:B2)</f>
        <v/>
      </c>
      <c r="C3" s="4">
        <f>SUM(C2:C2)</f>
        <v/>
      </c>
      <c r="D3" s="4">
        <f>SUM(D2:D2)</f>
        <v/>
      </c>
      <c r="E3" s="4">
        <f>SUM(E2:E2)</f>
        <v/>
      </c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Источник: ЦГА Москвы, ф. 51, оп. 8, д. 588</t>
        </is>
      </c>
    </row>
    <row r="2">
      <c r="A2" s="5" t="inlineStr">
        <is>
          <t>Шапка первого скана: РЕВИЗСКАЯ СКАЗКА. | РЕВИЗСКАЯ СКАЗКА. | 1850 года Iюля 10 дня, Московской губерніи и уѣзда деревни Черепковой. | 1850 года Іюля 10 дня, Московской губерніи и уѣзда деревни Черепковой | МУЖЕСКIЙ ПОЛЪ. | По послѣдней ревизiи состояло и послѣ оной прибыло. | Изъ того числа выбыло. | Нынѣ на лицо. | ЖЕНСКIЙ ПОЛЪ. | Во временной отлучкѣ. | Нынѣ на лицо.</t>
        </is>
      </c>
    </row>
    <row r="3">
      <c r="A3" s="5" t="inlineStr">
        <is>
          <t>Селения: д. Черепкова (165).</t>
        </is>
      </c>
    </row>
    <row r="4">
      <c r="A4" s="5" t="inlineStr">
        <is>
          <t>Как собрано: из готового машинного распознавания Яндекс Архива (данные страницы, без повторного распознавания сканов). Текст привязан к столбцам таблицы по координатам блоков, список людей семьи разделён по именам и сопоставлен со строками таблицы сверху вниз.</t>
        </is>
      </c>
    </row>
    <row r="5">
      <c r="A5" s="5" t="inlineStr">
        <is>
          <t>Орфография имён приведена к современной (без ъ, ѣ, і, ѳ); отчества и фамилии — как в документе. Если отчества в тексте нет, оно образовано от имени отца (отмечено в «Проверить»).</t>
        </is>
      </c>
    </row>
    <row r="6">
      <c r="A6" s="5" t="inlineStr">
        <is>
          <t>«Отношение» — как в сказке: к кому относится человек (глава семьи, сын/жена/дочь названного лица). «ID отца / мужа» связывает людей между собой для родословного древа.</t>
        </is>
      </c>
    </row>
    <row r="7">
      <c r="A7" s="5" t="inlineStr">
        <is>
          <t>«новорожд.» в столбце прошлой ревизии — родился после 1834. «½» — полгода, «мес.» — несколько месяцев. «?» — сомнительное значение (ячейка у границы строки или несколько значений в одном месте); пустая ячейка — цифра не распознана. Год рождения ≈ = год ревизии минус возраст.</t>
        </is>
      </c>
    </row>
    <row r="8">
      <c r="A8" s="5" t="inlineStr">
        <is>
          <t>Статус: «выбыл» — есть отметка о выбытии (умер, рекруты, переведён), «в отлучке» — отметка в женском столбце отлучки, иначе «налицо». Номер семьи — номер в пределах селения.</t>
        </is>
      </c>
    </row>
    <row r="9">
      <c r="A9" s="5" t="inlineStr">
        <is>
          <t>Строки, выделенные жёлтым, стоит сверить со сканом (ссылка в последнем столбце).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2026-10-27T18:15:32Z</dcterms:created>
  <dcterms:modified xmlns:dcterms="http://purl.org/dc/terms/" xmlns:xsi="http://www.w3.org/2001/XMLSchema-instance" xsi:type="dcterms:W3CDTF">2026-10-27T18:15:32Z</dcterms:modified>
</cp:coreProperties>
</file>